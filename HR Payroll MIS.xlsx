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9A1F9DC-59D5-4B71-BB40-AE91ED1DF1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ANCE" sheetId="1" r:id="rId1"/>
    <sheet name="SALARY" sheetId="3" r:id="rId2"/>
    <sheet name="SLIP" sheetId="4" r:id="rId3"/>
    <sheet name="Months" sheetId="2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3" l="1"/>
  <c r="B6" i="3"/>
  <c r="E6" i="3"/>
  <c r="F6" i="3"/>
  <c r="G6" i="3"/>
  <c r="H6" i="3" s="1"/>
  <c r="O6" i="3" s="1"/>
  <c r="Q6" i="3" s="1"/>
  <c r="R6" i="3" s="1"/>
  <c r="I6" i="3"/>
  <c r="K6" i="3"/>
  <c r="N6" i="3"/>
  <c r="P6" i="3"/>
  <c r="A7" i="3"/>
  <c r="B7" i="3"/>
  <c r="E7" i="3"/>
  <c r="F7" i="3"/>
  <c r="G7" i="3"/>
  <c r="H7" i="3" s="1"/>
  <c r="I7" i="3"/>
  <c r="K7" i="3"/>
  <c r="P7" i="3"/>
  <c r="AH9" i="1"/>
  <c r="AI9" i="1"/>
  <c r="AJ9" i="1"/>
  <c r="AK9" i="1"/>
  <c r="AL9" i="1"/>
  <c r="AM9" i="1"/>
  <c r="AN9" i="1"/>
  <c r="AH10" i="1"/>
  <c r="AI10" i="1"/>
  <c r="AJ10" i="1"/>
  <c r="AK10" i="1"/>
  <c r="AL10" i="1"/>
  <c r="AM10" i="1"/>
  <c r="AN10" i="1"/>
  <c r="O7" i="3" l="1"/>
  <c r="Q7" i="3" s="1"/>
  <c r="R7" i="3" s="1"/>
  <c r="N7" i="3"/>
  <c r="D8" i="4"/>
  <c r="P5" i="3"/>
  <c r="K5" i="3"/>
  <c r="I5" i="3"/>
  <c r="B5" i="3"/>
  <c r="A5" i="3"/>
  <c r="AN8" i="1"/>
  <c r="AM8" i="1"/>
  <c r="AL8" i="1"/>
  <c r="AI8" i="1"/>
  <c r="AJ8" i="1"/>
  <c r="A4" i="1"/>
  <c r="B4" i="1" s="1"/>
  <c r="B7" i="4" l="1"/>
  <c r="B8" i="4"/>
  <c r="B12" i="4"/>
  <c r="D11" i="4"/>
  <c r="B14" i="4"/>
  <c r="B13" i="4"/>
  <c r="C5" i="1"/>
  <c r="D5" i="1" l="1"/>
  <c r="C6" i="1"/>
  <c r="D6" i="1" l="1"/>
  <c r="E5" i="1"/>
  <c r="E6" i="1" l="1"/>
  <c r="F5" i="1"/>
  <c r="F6" i="1" l="1"/>
  <c r="G5" i="1"/>
  <c r="H5" i="1" l="1"/>
  <c r="G6" i="1"/>
  <c r="I5" i="1" l="1"/>
  <c r="H6" i="1"/>
  <c r="J5" i="1" l="1"/>
  <c r="I6" i="1"/>
  <c r="K5" i="1" l="1"/>
  <c r="J6" i="1"/>
  <c r="L5" i="1" l="1"/>
  <c r="K6" i="1"/>
  <c r="M5" i="1" l="1"/>
  <c r="L6" i="1"/>
  <c r="N5" i="1" l="1"/>
  <c r="M6" i="1"/>
  <c r="O5" i="1" l="1"/>
  <c r="N6" i="1"/>
  <c r="P5" i="1" l="1"/>
  <c r="O6" i="1"/>
  <c r="Q5" i="1" l="1"/>
  <c r="P6" i="1"/>
  <c r="Q6" i="1" l="1"/>
  <c r="R5" i="1"/>
  <c r="S5" i="1" l="1"/>
  <c r="R6" i="1"/>
  <c r="T5" i="1" l="1"/>
  <c r="S6" i="1"/>
  <c r="T6" i="1" l="1"/>
  <c r="U5" i="1"/>
  <c r="V5" i="1" l="1"/>
  <c r="U6" i="1"/>
  <c r="W5" i="1" l="1"/>
  <c r="V6" i="1"/>
  <c r="X5" i="1" l="1"/>
  <c r="W6" i="1"/>
  <c r="Y5" i="1" l="1"/>
  <c r="X6" i="1"/>
  <c r="Z5" i="1" l="1"/>
  <c r="Y6" i="1"/>
  <c r="AA5" i="1" l="1"/>
  <c r="Z6" i="1"/>
  <c r="AA6" i="1" l="1"/>
  <c r="AB5" i="1"/>
  <c r="AB6" i="1" l="1"/>
  <c r="AC5" i="1"/>
  <c r="AD5" i="1" l="1"/>
  <c r="AC6" i="1"/>
  <c r="AE5" i="1" l="1"/>
  <c r="AD6" i="1"/>
  <c r="AF5" i="1" l="1"/>
  <c r="AE6" i="1"/>
  <c r="AG5" i="1" l="1"/>
  <c r="AF6" i="1"/>
  <c r="AG6" i="1" l="1"/>
  <c r="AK8" i="1" s="1"/>
  <c r="F5" i="3" s="1"/>
  <c r="D7" i="4" s="1"/>
  <c r="AH8" i="1"/>
  <c r="E5" i="3" s="1"/>
  <c r="G5" i="3" l="1"/>
  <c r="D6" i="4"/>
  <c r="H5" i="3" l="1"/>
  <c r="N5" i="3"/>
  <c r="B15" i="4" s="1"/>
  <c r="O5" i="3" l="1"/>
  <c r="Q5" i="3" s="1"/>
  <c r="B11" i="4"/>
  <c r="B16" i="4" s="1"/>
  <c r="R5" i="3" l="1"/>
  <c r="D12" i="4"/>
  <c r="D16" i="4" s="1"/>
  <c r="C17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Avinav  Sinha</author>
  </authors>
  <commentList>
    <comment ref="I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Avinav  Sinha:
Dearness Allowances</t>
        </r>
      </text>
    </comment>
    <comment ref="K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Avinav  Sinha: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METRO CITY - HRA 50% OF BASIC SALARY
NON METRO CITY - HRA 40% OF BASIC SALARY</t>
        </r>
      </text>
    </comment>
    <comment ref="L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Avinav  Sinha: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Travelling Allowance</t>
        </r>
      </text>
    </comment>
    <comment ref="P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Avinav  Sinha: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PF- PROVIDENT FUND
12% OF BASIC SALARY
</t>
        </r>
      </text>
    </comment>
    <comment ref="Q4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Avinav  Sinha: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ESIC - EMPLOYEE STATE INSURANCE &lt;= 21000 - EST 0.75% OF GROSS SALARY</t>
        </r>
      </text>
    </comment>
  </commentList>
</comments>
</file>

<file path=xl/sharedStrings.xml><?xml version="1.0" encoding="utf-8"?>
<sst xmlns="http://schemas.openxmlformats.org/spreadsheetml/2006/main" count="160" uniqueCount="71">
  <si>
    <t>month</t>
  </si>
  <si>
    <t>year</t>
  </si>
  <si>
    <t>emp01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</si>
  <si>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</si>
  <si>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</si>
  <si>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</si>
  <si>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</si>
  <si>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</si>
  <si>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</si>
  <si>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</si>
  <si>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</si>
  <si>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</si>
  <si>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</si>
  <si>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</si>
  <si>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</si>
  <si>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Avinav sinha</t>
  </si>
  <si>
    <t>EMP_ID</t>
  </si>
  <si>
    <t>EMP_NAME</t>
  </si>
  <si>
    <t>PRESENT</t>
  </si>
  <si>
    <t>HOLIDAY</t>
  </si>
  <si>
    <t>WEEK OFF</t>
  </si>
  <si>
    <t>ABESNT</t>
  </si>
  <si>
    <t>H</t>
  </si>
  <si>
    <t>A</t>
  </si>
  <si>
    <t>TOTAL DAYS</t>
  </si>
  <si>
    <t>P</t>
  </si>
  <si>
    <t>Attendance sheet - August 2026</t>
  </si>
  <si>
    <t>BY avinav sinha</t>
  </si>
  <si>
    <t>HALF DAY</t>
  </si>
  <si>
    <t>HD</t>
  </si>
  <si>
    <t>ON DUTY</t>
  </si>
  <si>
    <t>OD</t>
  </si>
  <si>
    <t>DESIGNATION</t>
  </si>
  <si>
    <t>BASIC SALARY</t>
  </si>
  <si>
    <t>ATTEDANCE (WORKING DAYS)</t>
  </si>
  <si>
    <t>PER DAY SALARY</t>
  </si>
  <si>
    <t>SALARY(BASED ON ATTENDANCE)</t>
  </si>
  <si>
    <t>DA(12%)</t>
  </si>
  <si>
    <t>CITY</t>
  </si>
  <si>
    <t>HRA</t>
  </si>
  <si>
    <t>TA</t>
  </si>
  <si>
    <t>OT IN HRS</t>
  </si>
  <si>
    <t>OVERTIME PAY</t>
  </si>
  <si>
    <t>GROSS SALARY</t>
  </si>
  <si>
    <t>PF (12%)</t>
  </si>
  <si>
    <t>ESI (0.75%)</t>
  </si>
  <si>
    <t>NET SALARY</t>
  </si>
  <si>
    <t>officer</t>
  </si>
  <si>
    <t>NON METRO</t>
  </si>
  <si>
    <t>197 F2 SAKET NAGAR BHOPAL - 462024</t>
  </si>
  <si>
    <t>EMPLOYEE DETAILS</t>
  </si>
  <si>
    <t>SALARY DETAILS</t>
  </si>
  <si>
    <t>ATTENDANCE</t>
  </si>
  <si>
    <t>SLIP PRINT DATE</t>
  </si>
  <si>
    <t>EARNINGS</t>
  </si>
  <si>
    <t>DEDUCTIONS</t>
  </si>
  <si>
    <t>salary (based on attendance)</t>
  </si>
  <si>
    <t>Overtime Pay</t>
  </si>
  <si>
    <t>Gross Salary</t>
  </si>
  <si>
    <t>PF(12%)</t>
  </si>
  <si>
    <t>ESI(0.75%)</t>
  </si>
  <si>
    <t>Loan</t>
  </si>
  <si>
    <t>Tax</t>
  </si>
  <si>
    <t>Gross Deduction</t>
  </si>
  <si>
    <t>ABC Services Private Limited</t>
  </si>
  <si>
    <t>emp02</t>
  </si>
  <si>
    <t>emp03</t>
  </si>
  <si>
    <t>Manger</t>
  </si>
  <si>
    <t>Gaurav Singh</t>
  </si>
  <si>
    <t>Tushar Choubey</t>
  </si>
  <si>
    <t>Labour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</si>
</sst>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"/>
    <numFmt numFmtId="165" formatCode="#\ &quot;hrs.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/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/>
    <xf numFmtId="14" fontId="2" fillId="0" borderId="1" xfId="0" applyNumberFormat="1" applyFont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2" fillId="0" borderId="28" xfId="0" applyFont="1" applyBorder="1"/>
    <xf numFmtId="0" fontId="2" fillId="0" borderId="27" xfId="0" applyFont="1" applyBorder="1"/>
    <xf numFmtId="0" fontId="2" fillId="0" borderId="30" xfId="0" applyFont="1" applyBorder="1"/>
    <xf numFmtId="0" fontId="2" fillId="0" borderId="29" xfId="0" applyFont="1" applyBorder="1"/>
    <xf numFmtId="0" fontId="2" fillId="0" borderId="32" xfId="0" applyFont="1" applyBorder="1"/>
    <xf numFmtId="0" fontId="2" fillId="0" borderId="31" xfId="0" applyFont="1" applyBorder="1" applyAlignment="1">
      <alignment horizontal="right"/>
    </xf>
    <xf numFmtId="14" fontId="2" fillId="0" borderId="34" xfId="0" applyNumberFormat="1" applyFont="1" applyBorder="1" applyAlignment="1">
      <alignment horizontal="right"/>
    </xf>
    <xf numFmtId="0" fontId="2" fillId="0" borderId="33" xfId="0" applyFont="1" applyBorder="1" applyAlignment="1">
      <alignment horizontal="right"/>
    </xf>
    <xf numFmtId="0" fontId="2" fillId="0" borderId="36" xfId="0" applyFont="1" applyBorder="1"/>
    <xf numFmtId="0" fontId="2" fillId="0" borderId="35" xfId="0" applyFont="1" applyBorder="1"/>
    <xf numFmtId="0" fontId="2" fillId="0" borderId="37" xfId="0" applyFont="1" applyBorder="1"/>
    <xf numFmtId="0" fontId="2" fillId="0" borderId="38" xfId="0" applyFont="1" applyBorder="1"/>
    <xf numFmtId="0" fontId="2" fillId="0" borderId="10" xfId="0" applyFont="1" applyBorder="1"/>
    <xf numFmtId="0" fontId="2" fillId="0" borderId="40" xfId="0" applyFont="1" applyBorder="1"/>
    <xf numFmtId="0" fontId="2" fillId="0" borderId="39" xfId="0" applyFont="1" applyBorder="1" applyAlignment="1">
      <alignment horizontal="right"/>
    </xf>
    <xf numFmtId="1" fontId="2" fillId="0" borderId="41" xfId="0" applyNumberFormat="1" applyFont="1" applyBorder="1" applyAlignment="1">
      <alignment horizontal="right"/>
    </xf>
    <xf numFmtId="1" fontId="2" fillId="0" borderId="33" xfId="0" applyNumberFormat="1" applyFont="1" applyBorder="1" applyAlignment="1">
      <alignment horizontal="right"/>
    </xf>
    <xf numFmtId="0" fontId="2" fillId="0" borderId="42" xfId="0" applyFont="1" applyBorder="1"/>
    <xf numFmtId="1" fontId="2" fillId="0" borderId="34" xfId="0" applyNumberFormat="1" applyFont="1" applyBorder="1" applyAlignment="1">
      <alignment horizontal="right"/>
    </xf>
    <xf numFmtId="0" fontId="2" fillId="0" borderId="12" xfId="0" applyFont="1" applyBorder="1"/>
    <xf numFmtId="1" fontId="2" fillId="0" borderId="43" xfId="0" applyNumberFormat="1" applyFont="1" applyBorder="1" applyAlignment="1">
      <alignment horizontal="right"/>
    </xf>
    <xf numFmtId="1" fontId="2" fillId="0" borderId="44" xfId="0" applyNumberFormat="1" applyFont="1" applyBorder="1" applyAlignment="1">
      <alignment horizontal="right"/>
    </xf>
    <xf numFmtId="1" fontId="0" fillId="0" borderId="1" xfId="0" applyNumberFormat="1" applyBorder="1"/>
    <xf numFmtId="165" fontId="0" fillId="0" borderId="1" xfId="0" applyNumberFormat="1" applyBorder="1"/>
    <xf numFmtId="0" fontId="0" fillId="0" borderId="1" xfId="0" applyBorder="1" applyAlignment="1">
      <alignment horizontal="center" textRotation="45"/>
    </xf>
    <xf numFmtId="0" fontId="3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textRotation="45" wrapText="1"/>
    </xf>
    <xf numFmtId="0" fontId="0" fillId="0" borderId="4" xfId="0" applyBorder="1" applyAlignment="1">
      <alignment horizontal="center" vertical="center" textRotation="45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textRotation="45" wrapText="1"/>
    </xf>
    <xf numFmtId="0" fontId="2" fillId="3" borderId="15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/>
    </xf>
    <xf numFmtId="1" fontId="1" fillId="2" borderId="25" xfId="0" applyNumberFormat="1" applyFont="1" applyFill="1" applyBorder="1" applyAlignment="1">
      <alignment horizontal="right"/>
    </xf>
    <xf numFmtId="0" fontId="1" fillId="2" borderId="26" xfId="0" applyFont="1" applyFill="1" applyBorder="1" applyAlignment="1">
      <alignment horizontal="right"/>
    </xf>
    <xf numFmtId="0" fontId="1" fillId="4" borderId="15" xfId="0" applyFont="1" applyFill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</cellXfs>
  <cellStyles count="1">
    <cellStyle name="Normal" xfId="0" builtinId="0"/>
  </cellStyles>
  <dxfs count="7">
    <dxf>
      <font>
        <b/>
        <i val="0"/>
      </font>
      <fill>
        <patternFill>
          <bgColor theme="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theme="4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"/>
  <sheetViews>
    <sheetView tabSelected="1" workbookViewId="0">
      <selection activeCell="N25" sqref="N25"/>
    </sheetView>
  </sheetViews>
  <sheetFormatPr defaultRowHeight="14.4" x14ac:dyDescent="0.3"/>
  <cols>
    <col min="1" max="1" width="10.33203125" bestFit="1" customWidth="1"/>
    <col min="2" max="2" width="12.109375" bestFit="1" customWidth="1"/>
    <col min="3" max="3" width="5" customWidth="1"/>
    <col min="4" max="4" width="5.33203125" customWidth="1"/>
    <col min="5" max="5" width="5.88671875" customWidth="1"/>
    <col min="6" max="6" width="5.33203125" customWidth="1"/>
    <col min="7" max="7" width="6" customWidth="1"/>
    <col min="8" max="8" width="5.33203125" customWidth="1"/>
    <col min="9" max="9" width="4.5546875" customWidth="1"/>
    <col min="10" max="10" width="5" customWidth="1"/>
    <col min="11" max="11" width="5.33203125" customWidth="1"/>
    <col min="12" max="12" width="5.88671875" customWidth="1"/>
    <col min="13" max="13" width="5.33203125" customWidth="1"/>
    <col min="14" max="14" width="6" customWidth="1"/>
    <col min="15" max="15" width="5.33203125" customWidth="1"/>
    <col min="16" max="16" width="4.5546875" customWidth="1"/>
    <col min="17" max="17" width="5" customWidth="1"/>
    <col min="18" max="18" width="5.33203125" customWidth="1"/>
    <col min="19" max="19" width="5.88671875" customWidth="1"/>
    <col min="20" max="20" width="5.33203125" customWidth="1"/>
    <col min="21" max="21" width="6" customWidth="1"/>
    <col min="22" max="22" width="5.33203125" customWidth="1"/>
    <col min="23" max="23" width="4.5546875" customWidth="1"/>
    <col min="24" max="24" width="5" customWidth="1"/>
    <col min="25" max="25" width="5.33203125" customWidth="1"/>
    <col min="26" max="26" width="5.88671875" customWidth="1"/>
    <col min="27" max="27" width="5.33203125" customWidth="1"/>
    <col min="28" max="28" width="6" customWidth="1"/>
    <col min="29" max="29" width="5.33203125" customWidth="1"/>
    <col min="30" max="30" width="4.5546875" customWidth="1"/>
    <col min="31" max="31" width="5" customWidth="1"/>
    <col min="32" max="32" width="5.33203125" customWidth="1"/>
    <col min="33" max="33" width="5.88671875" customWidth="1"/>
    <col min="34" max="34" width="9.88671875" customWidth="1"/>
    <col min="35" max="36" width="8.6640625" customWidth="1"/>
    <col min="37" max="37" width="9.88671875" bestFit="1" customWidth="1"/>
    <col min="38" max="38" width="7.88671875" customWidth="1"/>
  </cols>
  <sheetData>
    <row r="1" spans="1:40" ht="15" thickBot="1" x14ac:dyDescent="0.35"/>
    <row r="2" spans="1:40" x14ac:dyDescent="0.3">
      <c r="A2" s="1" t="s">
        <v>0</v>
      </c>
      <c r="B2" s="1" t="s">
        <v>1</v>
      </c>
      <c r="C2" s="33" t="s">
        <v>26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9" t="s">
        <v>27</v>
      </c>
      <c r="AI2" s="40"/>
      <c r="AJ2" s="40"/>
      <c r="AK2" s="40"/>
      <c r="AL2" s="40"/>
      <c r="AM2" s="40"/>
      <c r="AN2" s="41"/>
    </row>
    <row r="3" spans="1:40" x14ac:dyDescent="0.3">
      <c r="A3" s="1" t="s">
        <v>10</v>
      </c>
      <c r="B3" s="1">
        <v>2026</v>
      </c>
      <c r="C3" s="33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42"/>
      <c r="AI3" s="43"/>
      <c r="AJ3" s="43"/>
      <c r="AK3" s="43"/>
      <c r="AL3" s="43"/>
      <c r="AM3" s="43"/>
      <c r="AN3" s="44"/>
    </row>
    <row r="4" spans="1:40" ht="15" thickBot="1" x14ac:dyDescent="0.35">
      <c r="A4" s="2">
        <f>DATEVALUE("1"&amp;A3&amp;B3)</f>
        <v>46235</v>
      </c>
      <c r="B4" s="2">
        <f>EOMONTH(A4,0)</f>
        <v>46265</v>
      </c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45"/>
      <c r="AI4" s="46"/>
      <c r="AJ4" s="46"/>
      <c r="AK4" s="46"/>
      <c r="AL4" s="46"/>
      <c r="AM4" s="46"/>
      <c r="AN4" s="47"/>
    </row>
    <row r="5" spans="1:40" ht="15" customHeight="1" x14ac:dyDescent="0.3">
      <c r="A5" s="32" t="s">
        <v>16</v>
      </c>
      <c r="B5" s="32" t="s">
        <v>17</v>
      </c>
      <c r="C5" s="3">
        <f>A4</f>
        <v>46235</v>
      </c>
      <c r="D5" s="3">
        <f>IF(C5&lt;$B$4,C5+1,"")</f>
        <v>46236</v>
      </c>
      <c r="E5" s="3">
        <f>IF(D5&lt;$B$4,D5+1,"")</f>
        <v>46237</v>
      </c>
      <c r="F5" s="3">
        <f t="shared" ref="F5:Q5" si="0">IF(E5&lt;$B$4,E5+1,"")</f>
        <v>46238</v>
      </c>
      <c r="G5" s="3">
        <f t="shared" si="0"/>
        <v>46239</v>
      </c>
      <c r="H5" s="3">
        <f t="shared" si="0"/>
        <v>46240</v>
      </c>
      <c r="I5" s="3">
        <f t="shared" si="0"/>
        <v>46241</v>
      </c>
      <c r="J5" s="3">
        <f t="shared" si="0"/>
        <v>46242</v>
      </c>
      <c r="K5" s="3">
        <f t="shared" si="0"/>
        <v>46243</v>
      </c>
      <c r="L5" s="3">
        <f t="shared" si="0"/>
        <v>46244</v>
      </c>
      <c r="M5" s="3">
        <f t="shared" si="0"/>
        <v>46245</v>
      </c>
      <c r="N5" s="3">
        <f t="shared" si="0"/>
        <v>46246</v>
      </c>
      <c r="O5" s="3">
        <f t="shared" si="0"/>
        <v>46247</v>
      </c>
      <c r="P5" s="3">
        <f t="shared" si="0"/>
        <v>46248</v>
      </c>
      <c r="Q5" s="3">
        <f t="shared" si="0"/>
        <v>46249</v>
      </c>
      <c r="R5" s="3">
        <f>IF(Q5&lt;$B$4,Q5+1,"")</f>
        <v>46250</v>
      </c>
      <c r="S5" s="3">
        <f>IF(R5&lt;$B$4,R5+1,"")</f>
        <v>46251</v>
      </c>
      <c r="T5" s="3">
        <f>IF(S5&lt;$B$4,S5+1,"")</f>
        <v>46252</v>
      </c>
      <c r="U5" s="3">
        <f>IF(T5&lt;$B$4,T5+1,"")</f>
        <v>46253</v>
      </c>
      <c r="V5" s="3">
        <f t="shared" ref="V5:AA5" si="1">IF(U5&lt;$B$4,U5+1,"")</f>
        <v>46254</v>
      </c>
      <c r="W5" s="3">
        <f t="shared" si="1"/>
        <v>46255</v>
      </c>
      <c r="X5" s="3">
        <f t="shared" si="1"/>
        <v>46256</v>
      </c>
      <c r="Y5" s="3">
        <f t="shared" si="1"/>
        <v>46257</v>
      </c>
      <c r="Z5" s="3">
        <f t="shared" si="1"/>
        <v>46258</v>
      </c>
      <c r="AA5" s="3">
        <f t="shared" si="1"/>
        <v>46259</v>
      </c>
      <c r="AB5" s="3">
        <f>IF(AA5&lt;$B$4,AA5+1,"")</f>
        <v>46260</v>
      </c>
      <c r="AC5" s="3">
        <f>IF(AB5&lt;$B$4,AB5+1,"")</f>
        <v>46261</v>
      </c>
      <c r="AD5" s="3">
        <f t="shared" ref="AD5:AG5" si="2">IF(AC5&lt;$B$4,AC5+1,"")</f>
        <v>46262</v>
      </c>
      <c r="AE5" s="3">
        <f t="shared" si="2"/>
        <v>46263</v>
      </c>
      <c r="AF5" s="3">
        <f t="shared" si="2"/>
        <v>46264</v>
      </c>
      <c r="AG5" s="3">
        <f t="shared" si="2"/>
        <v>46265</v>
      </c>
      <c r="AH5" s="38" t="s">
        <v>24</v>
      </c>
      <c r="AI5" s="37" t="s">
        <v>18</v>
      </c>
      <c r="AJ5" s="37" t="s">
        <v>19</v>
      </c>
      <c r="AK5" s="37" t="s">
        <v>20</v>
      </c>
      <c r="AL5" s="37" t="s">
        <v>21</v>
      </c>
      <c r="AM5" s="37" t="s">
        <v>28</v>
      </c>
      <c r="AN5" s="37" t="s">
        <v>30</v>
      </c>
    </row>
    <row r="6" spans="1:40" x14ac:dyDescent="0.3">
      <c r="A6" s="32"/>
      <c r="B6" s="32"/>
      <c r="C6" s="31" t="str">
        <f>TEXT(C5,"DDD")</f>
        <v>Sat</v>
      </c>
      <c r="D6" s="31" t="str">
        <f t="shared" ref="D6:AG6" si="3">TEXT(D5,"DDD")</f>
        <v>Sun</v>
      </c>
      <c r="E6" s="31" t="str">
        <f t="shared" si="3"/>
        <v>Mon</v>
      </c>
      <c r="F6" s="31" t="str">
        <f t="shared" si="3"/>
        <v>Tue</v>
      </c>
      <c r="G6" s="31" t="str">
        <f t="shared" si="3"/>
        <v>Wed</v>
      </c>
      <c r="H6" s="31" t="str">
        <f t="shared" si="3"/>
        <v>Thu</v>
      </c>
      <c r="I6" s="31" t="str">
        <f t="shared" si="3"/>
        <v>Fri</v>
      </c>
      <c r="J6" s="31" t="str">
        <f t="shared" si="3"/>
        <v>Sat</v>
      </c>
      <c r="K6" s="31" t="str">
        <f t="shared" si="3"/>
        <v>Sun</v>
      </c>
      <c r="L6" s="31" t="str">
        <f t="shared" si="3"/>
        <v>Mon</v>
      </c>
      <c r="M6" s="31" t="str">
        <f t="shared" si="3"/>
        <v>Tue</v>
      </c>
      <c r="N6" s="31" t="str">
        <f t="shared" si="3"/>
        <v>Wed</v>
      </c>
      <c r="O6" s="31" t="str">
        <f t="shared" si="3"/>
        <v>Thu</v>
      </c>
      <c r="P6" s="31" t="str">
        <f t="shared" si="3"/>
        <v>Fri</v>
      </c>
      <c r="Q6" s="31" t="str">
        <f t="shared" si="3"/>
        <v>Sat</v>
      </c>
      <c r="R6" s="31" t="str">
        <f t="shared" si="3"/>
        <v>Sun</v>
      </c>
      <c r="S6" s="31" t="str">
        <f t="shared" si="3"/>
        <v>Mon</v>
      </c>
      <c r="T6" s="31" t="str">
        <f t="shared" si="3"/>
        <v>Tue</v>
      </c>
      <c r="U6" s="31" t="str">
        <f t="shared" si="3"/>
        <v>Wed</v>
      </c>
      <c r="V6" s="31" t="str">
        <f t="shared" si="3"/>
        <v>Thu</v>
      </c>
      <c r="W6" s="31" t="str">
        <f t="shared" si="3"/>
        <v>Fri</v>
      </c>
      <c r="X6" s="31" t="str">
        <f t="shared" si="3"/>
        <v>Sat</v>
      </c>
      <c r="Y6" s="31" t="str">
        <f t="shared" si="3"/>
        <v>Sun</v>
      </c>
      <c r="Z6" s="31" t="str">
        <f t="shared" si="3"/>
        <v>Mon</v>
      </c>
      <c r="AA6" s="31" t="str">
        <f t="shared" si="3"/>
        <v>Tue</v>
      </c>
      <c r="AB6" s="31" t="str">
        <f t="shared" si="3"/>
        <v>Wed</v>
      </c>
      <c r="AC6" s="31" t="str">
        <f t="shared" si="3"/>
        <v>Thu</v>
      </c>
      <c r="AD6" s="31" t="str">
        <f t="shared" si="3"/>
        <v>Fri</v>
      </c>
      <c r="AE6" s="31" t="str">
        <f t="shared" si="3"/>
        <v>Sat</v>
      </c>
      <c r="AF6" s="31" t="str">
        <f t="shared" si="3"/>
        <v>Sun</v>
      </c>
      <c r="AG6" s="31" t="str">
        <f t="shared" si="3"/>
        <v>Mon</v>
      </c>
      <c r="AH6" s="48"/>
      <c r="AI6" s="37"/>
      <c r="AJ6" s="37"/>
      <c r="AK6" s="37"/>
      <c r="AL6" s="37"/>
      <c r="AM6" s="37"/>
      <c r="AN6" s="37"/>
    </row>
    <row r="7" spans="1:40" ht="13.5" customHeight="1" x14ac:dyDescent="0.3">
      <c r="A7" s="32"/>
      <c r="B7" s="32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48"/>
      <c r="AI7" s="38"/>
      <c r="AJ7" s="38"/>
      <c r="AK7" s="38"/>
      <c r="AL7" s="38"/>
      <c r="AM7" s="38"/>
      <c r="AN7" s="38"/>
    </row>
    <row r="8" spans="1:40" x14ac:dyDescent="0.3">
      <c r="A8" s="1" t="s">
        <v>2</v>
      </c>
      <c r="B8" s="1" t="s">
        <v>15</v>
      </c>
      <c r="C8" t="s">
        <v>22</v>
      </c>
      <c r="E8" t="s">
        <v>23</v>
      </c>
      <c r="F8" t="s">
        <v>25</v>
      </c>
      <c r="G8" t="s">
        <v>29</v>
      </c>
      <c r="H8" t="s">
        <v>31</v>
      </c>
      <c r="I8" t="s">
        <v>25</v>
      </c>
      <c r="J8" t="s">
        <v>25</v>
      </c>
      <c r="L8" t="s">
        <v>23</v>
      </c>
      <c r="M8" t="s">
        <v>25</v>
      </c>
      <c r="N8" t="s">
        <v>29</v>
      </c>
      <c r="O8" t="s">
        <v>31</v>
      </c>
      <c r="P8" t="s">
        <v>25</v>
      </c>
      <c r="Q8" t="s">
        <v>22</v>
      </c>
      <c r="S8" t="s">
        <v>23</v>
      </c>
      <c r="T8" t="s">
        <v>25</v>
      </c>
      <c r="U8" t="s">
        <v>29</v>
      </c>
      <c r="V8" t="s">
        <v>31</v>
      </c>
      <c r="W8" t="s">
        <v>25</v>
      </c>
      <c r="X8" t="s">
        <v>25</v>
      </c>
      <c r="Z8" t="s">
        <v>23</v>
      </c>
      <c r="AA8" t="s">
        <v>25</v>
      </c>
      <c r="AB8" t="s">
        <v>29</v>
      </c>
      <c r="AC8" t="s">
        <v>31</v>
      </c>
      <c r="AD8" t="s">
        <v>25</v>
      </c>
      <c r="AE8" t="s">
        <v>25</v>
      </c>
      <c r="AG8" t="s">
        <v>31</v>
      </c>
      <c r="AH8">
        <f>COUNT(C$5:AG$5)</f>
        <v>31</v>
      </c>
      <c r="AI8">
        <f>COUNTIF($C8:$AG8,"P")</f>
        <v>11</v>
      </c>
      <c r="AJ8">
        <f>COUNTIF($C8:$AG8,"H")</f>
        <v>2</v>
      </c>
      <c r="AK8">
        <f>COUNTIF(C$6:AG$7,"Sun")</f>
        <v>5</v>
      </c>
      <c r="AL8">
        <f>COUNTIF($C8:$AG8,"A")</f>
        <v>4</v>
      </c>
      <c r="AM8">
        <f>COUNTIF($C8:$AG8,"HD")</f>
        <v>4</v>
      </c>
      <c r="AN8">
        <f>COUNTIF($C8:$AG8,"OD")</f>
        <v>5</v>
      </c>
    </row>
    <row r="9" spans="1:40" x14ac:dyDescent="0.3">
      <c r="A9" s="1" t="s">
        <v>65</v>
      </c>
      <c r="B9" s="1" t="s">
        <v>68</v>
      </c>
      <c r="C9" t="s">
        <v>22</v>
      </c>
      <c r="E9" t="s">
        <v>25</v>
      </c>
      <c r="F9" t="s">
        <v>25</v>
      </c>
      <c r="G9" t="s">
        <v>25</v>
      </c>
      <c r="H9" t="s">
        <v>25</v>
      </c>
      <c r="I9" t="s">
        <v>23</v>
      </c>
      <c r="J9" t="s">
        <v>29</v>
      </c>
      <c r="L9" t="s">
        <v>25</v>
      </c>
      <c r="M9" t="s">
        <v>25</v>
      </c>
      <c r="N9" t="s">
        <v>25</v>
      </c>
      <c r="O9" t="s">
        <v>25</v>
      </c>
      <c r="P9" t="s">
        <v>23</v>
      </c>
      <c r="Q9" t="s">
        <v>22</v>
      </c>
      <c r="S9" t="s">
        <v>25</v>
      </c>
      <c r="T9" t="s">
        <v>25</v>
      </c>
      <c r="U9" t="s">
        <v>25</v>
      </c>
      <c r="V9" t="s">
        <v>25</v>
      </c>
      <c r="W9" t="s">
        <v>23</v>
      </c>
      <c r="X9" t="s">
        <v>29</v>
      </c>
      <c r="Z9" t="s">
        <v>25</v>
      </c>
      <c r="AA9" t="s">
        <v>25</v>
      </c>
      <c r="AB9" t="s">
        <v>25</v>
      </c>
      <c r="AC9" t="s">
        <v>25</v>
      </c>
      <c r="AD9" t="s">
        <v>23</v>
      </c>
      <c r="AE9" t="s">
        <v>29</v>
      </c>
      <c r="AG9" t="s">
        <v>29</v>
      </c>
      <c r="AH9">
        <f t="shared" ref="AH9:AH10" si="4">COUNT(C$5:AG$5)</f>
        <v>31</v>
      </c>
      <c r="AI9">
        <f t="shared" ref="AI9:AI10" si="5">COUNTIF($C9:$AG9,"P")</f>
        <v>16</v>
      </c>
      <c r="AJ9">
        <f t="shared" ref="AJ9:AJ10" si="6">COUNTIF($C9:$AG9,"H")</f>
        <v>2</v>
      </c>
      <c r="AK9">
        <f t="shared" ref="AK9:AK10" si="7">COUNTIF(C$6:AG$7,"Sun")</f>
        <v>5</v>
      </c>
      <c r="AL9">
        <f t="shared" ref="AL9:AL10" si="8">COUNTIF($C9:$AG9,"A")</f>
        <v>4</v>
      </c>
      <c r="AM9">
        <f t="shared" ref="AM9:AM10" si="9">COUNTIF($C9:$AG9,"HD")</f>
        <v>4</v>
      </c>
      <c r="AN9">
        <f t="shared" ref="AN9:AN10" si="10">COUNTIF($C9:$AG9,"OD")</f>
        <v>0</v>
      </c>
    </row>
    <row r="10" spans="1:40" x14ac:dyDescent="0.3">
      <c r="A10" s="1" t="s">
        <v>66</v>
      </c>
      <c r="B10" s="1" t="s">
        <v>69</v>
      </c>
      <c r="C10" t="s">
        <v>22</v>
      </c>
      <c r="E10" t="s">
        <v>29</v>
      </c>
      <c r="F10" t="s">
        <v>25</v>
      </c>
      <c r="G10" t="s">
        <v>31</v>
      </c>
      <c r="H10" t="s">
        <v>25</v>
      </c>
      <c r="I10" t="s">
        <v>25</v>
      </c>
      <c r="J10" t="s">
        <v>25</v>
      </c>
      <c r="L10" t="s">
        <v>29</v>
      </c>
      <c r="M10" t="s">
        <v>25</v>
      </c>
      <c r="N10" t="s">
        <v>31</v>
      </c>
      <c r="O10" t="s">
        <v>25</v>
      </c>
      <c r="P10" t="s">
        <v>25</v>
      </c>
      <c r="Q10" t="s">
        <v>22</v>
      </c>
      <c r="S10" t="s">
        <v>29</v>
      </c>
      <c r="T10" t="s">
        <v>25</v>
      </c>
      <c r="U10" t="s">
        <v>31</v>
      </c>
      <c r="V10" t="s">
        <v>25</v>
      </c>
      <c r="W10" t="s">
        <v>25</v>
      </c>
      <c r="X10" t="s">
        <v>25</v>
      </c>
      <c r="Z10" t="s">
        <v>29</v>
      </c>
      <c r="AA10" t="s">
        <v>25</v>
      </c>
      <c r="AB10" t="s">
        <v>31</v>
      </c>
      <c r="AC10" t="s">
        <v>25</v>
      </c>
      <c r="AD10" t="s">
        <v>25</v>
      </c>
      <c r="AE10" t="s">
        <v>25</v>
      </c>
      <c r="AG10" t="s">
        <v>25</v>
      </c>
      <c r="AH10">
        <f t="shared" si="4"/>
        <v>31</v>
      </c>
      <c r="AI10">
        <f t="shared" si="5"/>
        <v>16</v>
      </c>
      <c r="AJ10">
        <f t="shared" si="6"/>
        <v>2</v>
      </c>
      <c r="AK10">
        <f t="shared" si="7"/>
        <v>5</v>
      </c>
      <c r="AL10">
        <f t="shared" si="8"/>
        <v>0</v>
      </c>
      <c r="AM10">
        <f t="shared" si="9"/>
        <v>4</v>
      </c>
      <c r="AN10">
        <f t="shared" si="10"/>
        <v>4</v>
      </c>
    </row>
  </sheetData>
  <mergeCells count="42">
    <mergeCell ref="C2:AG4"/>
    <mergeCell ref="AM5:AM7"/>
    <mergeCell ref="AN5:AN7"/>
    <mergeCell ref="AH2:AN4"/>
    <mergeCell ref="AK5:AK7"/>
    <mergeCell ref="AL5:AL7"/>
    <mergeCell ref="AE6:AE7"/>
    <mergeCell ref="AF6:AF7"/>
    <mergeCell ref="AG6:AG7"/>
    <mergeCell ref="AH5:AH7"/>
    <mergeCell ref="AI5:AI7"/>
    <mergeCell ref="AJ5:AJ7"/>
    <mergeCell ref="Y6:Y7"/>
    <mergeCell ref="Z6:Z7"/>
    <mergeCell ref="AA6:AA7"/>
    <mergeCell ref="AB6:AB7"/>
    <mergeCell ref="AC6:AC7"/>
    <mergeCell ref="AD6:AD7"/>
    <mergeCell ref="S6:S7"/>
    <mergeCell ref="T6:T7"/>
    <mergeCell ref="U6:U7"/>
    <mergeCell ref="V6:V7"/>
    <mergeCell ref="W6:W7"/>
    <mergeCell ref="X6:X7"/>
    <mergeCell ref="R6:R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F6:F7"/>
    <mergeCell ref="A5:A7"/>
    <mergeCell ref="B5:B7"/>
    <mergeCell ref="C6:C7"/>
    <mergeCell ref="D6:D7"/>
    <mergeCell ref="E6:E7"/>
  </mergeCells>
  <phoneticPr fontId="6" type="noConversion"/>
  <conditionalFormatting sqref="C5:AG5">
    <cfRule type="timePeriod" dxfId="6" priority="7" timePeriod="today">
      <formula>FLOOR(C5,1)=TODAY()</formula>
    </cfRule>
  </conditionalFormatting>
  <conditionalFormatting sqref="C5:AG10">
    <cfRule type="expression" dxfId="5" priority="8">
      <formula>C$6="Sun"</formula>
    </cfRule>
    <cfRule type="expression" priority="11">
      <formula>C$6="Sun"</formula>
    </cfRule>
  </conditionalFormatting>
  <conditionalFormatting sqref="C8:AG10">
    <cfRule type="containsText" dxfId="4" priority="5" operator="containsText" text="A">
      <formula>NOT(ISERROR(SEARCH("A",C8)))</formula>
    </cfRule>
    <cfRule type="containsText" dxfId="3" priority="6" operator="containsText" text="H">
      <formula>NOT(ISERROR(SEARCH("H",C8)))</formula>
    </cfRule>
  </conditionalFormatting>
  <conditionalFormatting sqref="C5:AM7">
    <cfRule type="notContainsBlanks" dxfId="2" priority="14">
      <formula>LEN(TRIM(C5))&gt;0</formula>
    </cfRule>
  </conditionalFormatting>
  <conditionalFormatting sqref="C5:AN10">
    <cfRule type="expression" dxfId="1" priority="1">
      <formula>C$5&lt;&gt;""</formula>
    </cfRule>
  </conditionalFormatting>
  <conditionalFormatting sqref="AN5:AN7">
    <cfRule type="notContainsBlanks" dxfId="0" priority="3">
      <formula>LEN(TRIM(AN5))&gt;0</formula>
    </cfRule>
  </conditionalFormatting>
  <dataValidations count="2">
    <dataValidation type="list" allowBlank="1" showInputMessage="1" showErrorMessage="1" sqref="B3" xr:uid="{00000000-0002-0000-0000-000000000000}">
      <formula1>"2026,2027,2028,2029,2030"</formula1>
    </dataValidation>
    <dataValidation type="custom" allowBlank="1" showInputMessage="1" showErrorMessage="1" errorTitle="Weekly Off (Sunday)" error="Sunday is Holiday" sqref="C8:AG10" xr:uid="{00000000-0002-0000-0000-000001000000}">
      <formula1>C$6&lt;&gt;"Sun"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Months!$A$1:$A$12</xm:f>
          </x14:formula1>
          <xm:sqref>A3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R7"/>
  <sheetViews>
    <sheetView topLeftCell="A2" workbookViewId="0">
      <selection activeCell="L17" sqref="L17"/>
    </sheetView>
  </sheetViews>
  <sheetFormatPr defaultRowHeight="14.4" x14ac:dyDescent="0.3"/>
  <cols>
    <col min="2" max="2" width="14.109375" bestFit="1" customWidth="1"/>
  </cols>
  <sheetData>
    <row r="4" spans="1:18" s="5" customFormat="1" ht="72" x14ac:dyDescent="0.3">
      <c r="A4" s="4" t="s">
        <v>16</v>
      </c>
      <c r="B4" s="4" t="s">
        <v>17</v>
      </c>
      <c r="C4" s="4" t="s">
        <v>32</v>
      </c>
      <c r="D4" s="4" t="s">
        <v>33</v>
      </c>
      <c r="E4" s="4" t="s">
        <v>24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4" t="s">
        <v>45</v>
      </c>
      <c r="R4" s="4" t="s">
        <v>46</v>
      </c>
    </row>
    <row r="5" spans="1:18" x14ac:dyDescent="0.3">
      <c r="A5" s="1" t="str">
        <f>ATTENDANCE!A8</f>
        <v>emp01</v>
      </c>
      <c r="B5" s="1" t="str">
        <f>ATTENDANCE!B8</f>
        <v>Avinav sinha</v>
      </c>
      <c r="C5" s="1" t="s">
        <v>47</v>
      </c>
      <c r="D5" s="1">
        <v>30000</v>
      </c>
      <c r="E5" s="1">
        <f>ATTENDANCE!AH8</f>
        <v>31</v>
      </c>
      <c r="F5" s="1">
        <f>SUM(ATTENDANCE!AI8:AK8)</f>
        <v>18</v>
      </c>
      <c r="G5" s="29">
        <f>D5/E5</f>
        <v>967.74193548387098</v>
      </c>
      <c r="H5" s="29">
        <f>G5*F5</f>
        <v>17419.354838709678</v>
      </c>
      <c r="I5" s="1">
        <f>D5*12%</f>
        <v>3600</v>
      </c>
      <c r="J5" s="1" t="s">
        <v>48</v>
      </c>
      <c r="K5" s="1">
        <f>IF(J5="METRO",D5*50%,D5*40%)</f>
        <v>12000</v>
      </c>
      <c r="L5" s="1">
        <v>1000</v>
      </c>
      <c r="M5" s="30">
        <v>3</v>
      </c>
      <c r="N5" s="29">
        <f>G5/9*M5</f>
        <v>322.58064516129036</v>
      </c>
      <c r="O5" s="29">
        <f>H5+I5+K5+L5</f>
        <v>34019.354838709682</v>
      </c>
      <c r="P5" s="1">
        <f>12%*D5</f>
        <v>3600</v>
      </c>
      <c r="Q5" s="29" t="str">
        <f>IF(O5&lt;=21000,O5*0.75%,"N/A")</f>
        <v>N/A</v>
      </c>
      <c r="R5" s="29">
        <f>IF(ISNUMBER(Q5),O5-P5-Q5,O5-P5)</f>
        <v>30419.354838709682</v>
      </c>
    </row>
    <row r="6" spans="1:18" x14ac:dyDescent="0.3">
      <c r="A6" s="1" t="str">
        <f>ATTENDANCE!A9</f>
        <v>emp02</v>
      </c>
      <c r="B6" s="1" t="str">
        <f>ATTENDANCE!B9</f>
        <v>Gaurav Singh</v>
      </c>
      <c r="C6" s="1" t="s">
        <v>67</v>
      </c>
      <c r="D6" s="1">
        <v>50000</v>
      </c>
      <c r="E6" s="1">
        <f>ATTENDANCE!AH9</f>
        <v>31</v>
      </c>
      <c r="F6" s="1">
        <f>SUM(ATTENDANCE!AI9:AK9)</f>
        <v>23</v>
      </c>
      <c r="G6" s="29">
        <f t="shared" ref="G6:G7" si="0">D6/E6</f>
        <v>1612.9032258064517</v>
      </c>
      <c r="H6" s="29">
        <f t="shared" ref="H6:H7" si="1">G6*F6</f>
        <v>37096.774193548386</v>
      </c>
      <c r="I6" s="1">
        <f t="shared" ref="I6:I7" si="2">D6*12%</f>
        <v>6000</v>
      </c>
      <c r="J6" s="1" t="s">
        <v>48</v>
      </c>
      <c r="K6" s="1">
        <f t="shared" ref="K6:K7" si="3">IF(J6="METRO",D6*50%,D6*40%)</f>
        <v>20000</v>
      </c>
      <c r="L6" s="1">
        <v>1000</v>
      </c>
      <c r="M6" s="30">
        <v>0.5</v>
      </c>
      <c r="N6" s="29">
        <f t="shared" ref="N6:N7" si="4">G6/9*M6</f>
        <v>89.605734767025098</v>
      </c>
      <c r="O6" s="29">
        <f t="shared" ref="O6:O7" si="5">H6+I6+K6+L6</f>
        <v>64096.774193548386</v>
      </c>
      <c r="P6" s="1">
        <f t="shared" ref="P6:P7" si="6">12%*D6</f>
        <v>6000</v>
      </c>
      <c r="Q6" s="29" t="str">
        <f t="shared" ref="Q6:Q7" si="7">IF(O6&lt;=21000,O6*0.75%,"N/A")</f>
        <v>N/A</v>
      </c>
      <c r="R6" s="29">
        <f t="shared" ref="R6:R7" si="8">IF(ISNUMBER(Q6),O6-P6-Q6,O6-P6)</f>
        <v>58096.774193548386</v>
      </c>
    </row>
    <row r="7" spans="1:18" x14ac:dyDescent="0.3">
      <c r="A7" s="1" t="str">
        <f>ATTENDANCE!A10</f>
        <v>emp03</v>
      </c>
      <c r="B7" s="1" t="str">
        <f>ATTENDANCE!B10</f>
        <v>Tushar Choubey</v>
      </c>
      <c r="C7" s="1" t="s">
        <v>70</v>
      </c>
      <c r="D7" s="1">
        <v>10000</v>
      </c>
      <c r="E7" s="1">
        <f>ATTENDANCE!AH10</f>
        <v>31</v>
      </c>
      <c r="F7" s="1">
        <f>SUM(ATTENDANCE!AI10:AK10)</f>
        <v>23</v>
      </c>
      <c r="G7" s="29">
        <f t="shared" si="0"/>
        <v>322.58064516129031</v>
      </c>
      <c r="H7" s="29">
        <f t="shared" si="1"/>
        <v>7419.3548387096771</v>
      </c>
      <c r="I7" s="1">
        <f t="shared" si="2"/>
        <v>1200</v>
      </c>
      <c r="J7" s="1" t="s">
        <v>48</v>
      </c>
      <c r="K7" s="1">
        <f t="shared" si="3"/>
        <v>4000</v>
      </c>
      <c r="L7" s="1">
        <v>1000</v>
      </c>
      <c r="M7" s="30">
        <v>5</v>
      </c>
      <c r="N7" s="29">
        <f t="shared" si="4"/>
        <v>179.21146953405017</v>
      </c>
      <c r="O7" s="29">
        <f t="shared" si="5"/>
        <v>13619.354838709678</v>
      </c>
      <c r="P7" s="1">
        <f t="shared" si="6"/>
        <v>1200</v>
      </c>
      <c r="Q7" s="29">
        <f t="shared" si="7"/>
        <v>102.14516129032258</v>
      </c>
      <c r="R7" s="29">
        <f t="shared" si="8"/>
        <v>12317.209677419356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C21" sqref="C21"/>
    </sheetView>
  </sheetViews>
  <sheetFormatPr defaultColWidth="9.109375" defaultRowHeight="14.4" x14ac:dyDescent="0.3"/>
  <cols>
    <col min="1" max="1" width="27" style="6" bestFit="1" customWidth="1"/>
    <col min="2" max="2" width="12.109375" style="6" bestFit="1" customWidth="1"/>
    <col min="3" max="3" width="15.5546875" style="6" bestFit="1" customWidth="1"/>
    <col min="4" max="4" width="10.33203125" style="6" bestFit="1" customWidth="1"/>
    <col min="5" max="16384" width="9.109375" style="6"/>
  </cols>
  <sheetData>
    <row r="1" spans="1:4" ht="15" thickBot="1" x14ac:dyDescent="0.35"/>
    <row r="2" spans="1:4" x14ac:dyDescent="0.3">
      <c r="A2" s="55" t="s">
        <v>64</v>
      </c>
      <c r="B2" s="56"/>
      <c r="C2" s="56"/>
      <c r="D2" s="57"/>
    </row>
    <row r="3" spans="1:4" ht="15" thickBot="1" x14ac:dyDescent="0.35">
      <c r="A3" s="58" t="s">
        <v>49</v>
      </c>
      <c r="B3" s="59"/>
      <c r="C3" s="59"/>
      <c r="D3" s="60"/>
    </row>
    <row r="4" spans="1:4" x14ac:dyDescent="0.3">
      <c r="A4" s="8"/>
      <c r="B4" s="7"/>
      <c r="C4" s="9"/>
      <c r="D4" s="10"/>
    </row>
    <row r="5" spans="1:4" x14ac:dyDescent="0.3">
      <c r="A5" s="61" t="s">
        <v>50</v>
      </c>
      <c r="B5" s="62"/>
      <c r="C5" s="61" t="s">
        <v>51</v>
      </c>
      <c r="D5" s="62"/>
    </row>
    <row r="6" spans="1:4" x14ac:dyDescent="0.3">
      <c r="A6" s="18" t="s">
        <v>16</v>
      </c>
      <c r="B6" s="12" t="s">
        <v>2</v>
      </c>
      <c r="C6" s="11" t="s">
        <v>24</v>
      </c>
      <c r="D6" s="12">
        <f>VLOOKUP($B$6,SALARY!$A:$R,5,0)</f>
        <v>31</v>
      </c>
    </row>
    <row r="7" spans="1:4" x14ac:dyDescent="0.3">
      <c r="A7" s="19" t="s">
        <v>17</v>
      </c>
      <c r="B7" s="14" t="str">
        <f>VLOOKUP($B$6,SALARY!$A:$R,2,0)</f>
        <v>Avinav sinha</v>
      </c>
      <c r="C7" s="17" t="s">
        <v>52</v>
      </c>
      <c r="D7" s="14">
        <f>VLOOKUP($B$6,SALARY!$A:$R,6,0)</f>
        <v>18</v>
      </c>
    </row>
    <row r="8" spans="1:4" ht="15" thickBot="1" x14ac:dyDescent="0.35">
      <c r="A8" s="20" t="s">
        <v>32</v>
      </c>
      <c r="B8" s="21" t="str">
        <f>VLOOKUP($B$6,SALARY!$A:$R,3,0)</f>
        <v>officer</v>
      </c>
      <c r="C8" s="16" t="s">
        <v>53</v>
      </c>
      <c r="D8" s="13">
        <f ca="1">TODAY()</f>
        <v>46254</v>
      </c>
    </row>
    <row r="9" spans="1:4" ht="15" thickBot="1" x14ac:dyDescent="0.35">
      <c r="A9" s="63" t="s">
        <v>33</v>
      </c>
      <c r="B9" s="64"/>
      <c r="C9" s="64"/>
      <c r="D9" s="65"/>
    </row>
    <row r="10" spans="1:4" x14ac:dyDescent="0.3">
      <c r="A10" s="49" t="s">
        <v>54</v>
      </c>
      <c r="B10" s="50"/>
      <c r="C10" s="49" t="s">
        <v>55</v>
      </c>
      <c r="D10" s="50"/>
    </row>
    <row r="11" spans="1:4" x14ac:dyDescent="0.3">
      <c r="A11" s="11" t="s">
        <v>56</v>
      </c>
      <c r="B11" s="22">
        <f>VLOOKUP($B$6,SALARY!$A:$R,8,0)</f>
        <v>17419.354838709678</v>
      </c>
      <c r="C11" s="18" t="s">
        <v>59</v>
      </c>
      <c r="D11" s="27">
        <f>VLOOKUP($B$6,SALARY!$A:$R,16,0)</f>
        <v>3600</v>
      </c>
    </row>
    <row r="12" spans="1:4" x14ac:dyDescent="0.3">
      <c r="A12" s="15" t="s">
        <v>37</v>
      </c>
      <c r="B12" s="23">
        <f>VLOOKUP($B$6,SALARY!$A:$R,9,0)</f>
        <v>3600</v>
      </c>
      <c r="C12" s="17" t="s">
        <v>60</v>
      </c>
      <c r="D12" s="28" t="str">
        <f>VLOOKUP($B$6,SALARY!$A:$R,17,0)</f>
        <v>N/A</v>
      </c>
    </row>
    <row r="13" spans="1:4" x14ac:dyDescent="0.3">
      <c r="A13" s="17" t="s">
        <v>39</v>
      </c>
      <c r="B13" s="23">
        <f>VLOOKUP($B$6,SALARY!$A:$R,11,0)</f>
        <v>12000</v>
      </c>
      <c r="C13" s="19" t="s">
        <v>61</v>
      </c>
      <c r="D13" s="23">
        <v>0</v>
      </c>
    </row>
    <row r="14" spans="1:4" x14ac:dyDescent="0.3">
      <c r="A14" s="24" t="s">
        <v>40</v>
      </c>
      <c r="B14" s="23">
        <f>VLOOKUP($B$6,SALARY!$A:$R,12,0)</f>
        <v>1000</v>
      </c>
      <c r="C14" s="17" t="s">
        <v>62</v>
      </c>
      <c r="D14" s="28">
        <v>0</v>
      </c>
    </row>
    <row r="15" spans="1:4" x14ac:dyDescent="0.3">
      <c r="A15" s="17" t="s">
        <v>57</v>
      </c>
      <c r="B15" s="23">
        <f>VLOOKUP($B$6,SALARY!$A:$R,14,0)</f>
        <v>322.58064516129036</v>
      </c>
      <c r="C15" s="17"/>
      <c r="D15" s="14"/>
    </row>
    <row r="16" spans="1:4" ht="15" thickBot="1" x14ac:dyDescent="0.35">
      <c r="A16" s="26" t="s">
        <v>58</v>
      </c>
      <c r="B16" s="25">
        <f>SUM(B11:B15)</f>
        <v>34341.93548387097</v>
      </c>
      <c r="C16" s="26" t="s">
        <v>63</v>
      </c>
      <c r="D16" s="25">
        <f>SUM(D11:D15)</f>
        <v>3600</v>
      </c>
    </row>
    <row r="17" spans="1:4" ht="15" thickBot="1" x14ac:dyDescent="0.35">
      <c r="A17" s="51" t="s">
        <v>46</v>
      </c>
      <c r="B17" s="52"/>
      <c r="C17" s="53">
        <f>B16-D16</f>
        <v>30741.93548387097</v>
      </c>
      <c r="D17" s="54"/>
    </row>
  </sheetData>
  <mergeCells count="9">
    <mergeCell ref="A10:B10"/>
    <mergeCell ref="C10:D10"/>
    <mergeCell ref="A17:B17"/>
    <mergeCell ref="C17:D17"/>
    <mergeCell ref="A2:D2"/>
    <mergeCell ref="A3:D3"/>
    <mergeCell ref="A5:B5"/>
    <mergeCell ref="C5:D5"/>
    <mergeCell ref="A9:D9"/>
  </mergeCell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ATTENDANCE!$A$8</xm:f>
          </x14:formula1>
          <xm:sqref>B6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2"/>
  <sheetViews>
    <sheetView workbookViewId="0">
      <selection activeCell="E19" sqref="E19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  <row r="9" spans="1:1" x14ac:dyDescent="0.3">
      <c r="A9" t="s">
        <v>11</v>
      </c>
    </row>
    <row r="10" spans="1:1" x14ac:dyDescent="0.3">
      <c r="A10" t="s">
        <v>12</v>
      </c>
    </row>
    <row r="11" spans="1:1" x14ac:dyDescent="0.3">
      <c r="A11" t="s">
        <v>13</v>
      </c>
    </row>
    <row r="12" spans="1:1" x14ac:dyDescent="0.3">
      <c r="A1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ATTENDANCE</vt:lpstr>
      <vt:lpstr>SALARY</vt:lpstr>
      <vt:lpstr>SLIP</vt:lpstr>
      <vt:lpstr>Months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Avinav  Sinha</dc:creator>
  <cp:lastModifiedBy>AVINAV SINHA</cp:lastModifiedBy>
  <dcterms:created xsi:type="dcterms:W3CDTF">2026-08-19T06:47:10Z</dcterms:created>
  <dcterms:modified xsi:type="dcterms:W3CDTF">2026-08-20T16:53:27Z</dcterms:modified>
</cp:coreProperties>
</file>